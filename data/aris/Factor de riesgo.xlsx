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aris\"/>
    </mc:Choice>
  </mc:AlternateContent>
  <xr:revisionPtr revIDLastSave="0" documentId="13_ncr:1_{CC882872-A6DB-4B43-870D-7F43ACC489CA}" xr6:coauthVersionLast="47" xr6:coauthVersionMax="47" xr10:uidLastSave="{00000000-0000-0000-0000-000000000000}"/>
  <bookViews>
    <workbookView xWindow="28680" yWindow="-435" windowWidth="29040" windowHeight="15720" xr2:uid="{FA241574-44C9-43E3-ADDE-4CDEBFCF2DE6}"/>
  </bookViews>
  <sheets>
    <sheet name="FACTORES DE RIESGO MANTENIM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D19" i="1"/>
  <c r="D18" i="1"/>
  <c r="D17" i="1"/>
  <c r="D16" i="1"/>
  <c r="D15" i="1"/>
  <c r="D14" i="1"/>
  <c r="D13" i="1"/>
  <c r="D12" i="1"/>
  <c r="D21" i="1" l="1"/>
  <c r="E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Zuluaga</author>
  </authors>
  <commentList>
    <comment ref="F2" authorId="0" shapeId="0" xr:uid="{35A5274E-E07F-42FB-8352-EA8ED45880F4}">
      <text>
        <r>
          <rPr>
            <b/>
            <sz val="9"/>
            <color indexed="81"/>
            <rFont val="Tahoma"/>
            <family val="2"/>
          </rPr>
          <t>Se puede modificar por el rango de fecha selecionado en el sistema.</t>
        </r>
      </text>
    </comment>
  </commentList>
</comments>
</file>

<file path=xl/sharedStrings.xml><?xml version="1.0" encoding="utf-8"?>
<sst xmlns="http://schemas.openxmlformats.org/spreadsheetml/2006/main" count="33" uniqueCount="19">
  <si>
    <t>CATEGORIA</t>
  </si>
  <si>
    <t>METRICA</t>
  </si>
  <si>
    <t>PUNTOS DE RIESGO</t>
  </si>
  <si>
    <t>DIAS VALIDADOS EN LA FRANJA</t>
  </si>
  <si>
    <t>DIAS</t>
  </si>
  <si>
    <t>Conducción Agresiva</t>
  </si>
  <si>
    <t>Frenazo Brusco</t>
  </si>
  <si>
    <t>Del 16 al 23 de agostto son</t>
  </si>
  <si>
    <t>Giro Brusco</t>
  </si>
  <si>
    <t>Aceleración Brusca</t>
  </si>
  <si>
    <t>Velocidad Límite</t>
  </si>
  <si>
    <t>2-9 (Bajo)</t>
  </si>
  <si>
    <t>10-17 (Medio)</t>
  </si>
  <si>
    <t>Velocidad del Vehículo</t>
  </si>
  <si>
    <t>Velocidad &gt; 65</t>
  </si>
  <si>
    <t>Velocidad &gt; 105</t>
  </si>
  <si>
    <t>TOTAL</t>
  </si>
  <si>
    <t>Velocidad &gt; 49</t>
  </si>
  <si>
    <t>650AFY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</si>
</sst>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9"/>
      <color indexed="81"/>
      <name val="Tahoma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0" fillId="3" borderId="0" xfId="0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B306-F1D9-411B-BD30-8B2AB00F4A32}">
  <dimension ref="A1:F32"/>
  <sheetViews>
    <sheetView tabSelected="1" zoomScale="85" zoomScaleNormal="85" workbookViewId="0">
      <selection activeCell="J19" sqref="J19"/>
    </sheetView>
  </sheetViews>
  <sheetFormatPr baseColWidth="10" defaultRowHeight="14.4" x14ac:dyDescent="0.3"/>
  <cols>
    <col min="1" max="1" width="19.109375" bestFit="1" customWidth="1"/>
    <col min="2" max="2" width="16.5546875" bestFit="1" customWidth="1"/>
    <col min="3" max="3" width="17.21875" bestFit="1" customWidth="1"/>
    <col min="4" max="4" width="5.88671875" bestFit="1" customWidth="1"/>
    <col min="5" max="5" width="26.33203125" bestFit="1" customWidth="1"/>
    <col min="6" max="6" width="14.6640625" customWidth="1"/>
  </cols>
  <sheetData>
    <row r="1" spans="1:6" x14ac:dyDescent="0.3">
      <c r="A1" s="1" t="s">
        <v>0</v>
      </c>
      <c r="B1" s="1" t="s">
        <v>1</v>
      </c>
      <c r="C1" s="2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3</v>
      </c>
      <c r="E2" t="s">
        <v>7</v>
      </c>
      <c r="F2" s="3">
        <v>7</v>
      </c>
    </row>
    <row r="3" spans="1:6" x14ac:dyDescent="0.3">
      <c r="A3" t="s">
        <v>5</v>
      </c>
      <c r="B3" t="s">
        <v>8</v>
      </c>
      <c r="C3">
        <v>4</v>
      </c>
    </row>
    <row r="4" spans="1:6" x14ac:dyDescent="0.3">
      <c r="A4" t="s">
        <v>5</v>
      </c>
      <c r="B4" t="s">
        <v>9</v>
      </c>
      <c r="C4">
        <v>4</v>
      </c>
    </row>
    <row r="5" spans="1:6" x14ac:dyDescent="0.3">
      <c r="A5" t="s">
        <v>10</v>
      </c>
      <c r="B5" t="s">
        <v>11</v>
      </c>
      <c r="C5">
        <v>5</v>
      </c>
    </row>
    <row r="6" spans="1:6" x14ac:dyDescent="0.3">
      <c r="A6" t="s">
        <v>10</v>
      </c>
      <c r="B6" t="s">
        <v>12</v>
      </c>
      <c r="C6">
        <v>5</v>
      </c>
    </row>
    <row r="7" spans="1:6" x14ac:dyDescent="0.3">
      <c r="A7" t="s">
        <v>13</v>
      </c>
      <c r="B7" t="s">
        <v>17</v>
      </c>
      <c r="C7">
        <v>5</v>
      </c>
    </row>
    <row r="8" spans="1:6" x14ac:dyDescent="0.3">
      <c r="A8" t="s">
        <v>13</v>
      </c>
      <c r="B8" t="s">
        <v>14</v>
      </c>
      <c r="C8">
        <v>0</v>
      </c>
    </row>
    <row r="9" spans="1:6" x14ac:dyDescent="0.3">
      <c r="A9" t="s">
        <v>13</v>
      </c>
      <c r="B9" t="s">
        <v>15</v>
      </c>
      <c r="C9">
        <v>0</v>
      </c>
    </row>
    <row r="11" spans="1:6" x14ac:dyDescent="0.3">
      <c r="D11" s="4" t="s">
        <v>16</v>
      </c>
    </row>
    <row r="12" spans="1:6" x14ac:dyDescent="0.3">
      <c r="A12" s="7" t="s">
        <v>18</v>
      </c>
      <c r="B12" t="s">
        <v>6</v>
      </c>
      <c r="C12" s="5"/>
      <c r="D12">
        <f>C12*C2</f>
        <v>0</v>
      </c>
    </row>
    <row r="13" spans="1:6" x14ac:dyDescent="0.3">
      <c r="B13" t="s">
        <v>8</v>
      </c>
      <c r="C13" s="5"/>
      <c r="D13">
        <f t="shared" ref="D13:D19" si="0">C13*C3</f>
        <v>0</v>
      </c>
    </row>
    <row r="14" spans="1:6" x14ac:dyDescent="0.3">
      <c r="B14" t="s">
        <v>9</v>
      </c>
      <c r="C14" s="5"/>
      <c r="D14">
        <f t="shared" si="0"/>
        <v>0</v>
      </c>
    </row>
    <row r="15" spans="1:6" x14ac:dyDescent="0.3">
      <c r="B15" t="s">
        <v>11</v>
      </c>
      <c r="C15" s="5">
        <v>6</v>
      </c>
      <c r="D15">
        <f t="shared" si="0"/>
        <v>30</v>
      </c>
    </row>
    <row r="16" spans="1:6" x14ac:dyDescent="0.3">
      <c r="B16" t="s">
        <v>12</v>
      </c>
      <c r="C16" s="5">
        <v>2</v>
      </c>
      <c r="D16">
        <f t="shared" si="0"/>
        <v>10</v>
      </c>
    </row>
    <row r="17" spans="2:5" x14ac:dyDescent="0.3">
      <c r="B17" t="s">
        <v>17</v>
      </c>
      <c r="C17" s="5">
        <v>72</v>
      </c>
      <c r="D17">
        <f t="shared" si="0"/>
        <v>360</v>
      </c>
    </row>
    <row r="18" spans="2:5" x14ac:dyDescent="0.3">
      <c r="B18" t="s">
        <v>14</v>
      </c>
      <c r="C18" s="5">
        <v>0</v>
      </c>
      <c r="D18">
        <f t="shared" si="0"/>
        <v>0</v>
      </c>
    </row>
    <row r="19" spans="2:5" x14ac:dyDescent="0.3">
      <c r="B19" t="s">
        <v>15</v>
      </c>
      <c r="C19" s="5">
        <v>0</v>
      </c>
      <c r="D19">
        <f t="shared" si="0"/>
        <v>0</v>
      </c>
    </row>
    <row r="21" spans="2:5" x14ac:dyDescent="0.3">
      <c r="B21" t="s">
        <v>16</v>
      </c>
      <c r="C21" s="4">
        <f>SUM(C12:C20)</f>
        <v>80</v>
      </c>
      <c r="D21" s="4">
        <f>SUM(D12:D20)</f>
        <v>400</v>
      </c>
      <c r="E21" s="6">
        <f>D21/F2</f>
        <v>57.142857142857146</v>
      </c>
    </row>
    <row r="23" spans="2:5" x14ac:dyDescent="0.3">
      <c r="C23" s="5"/>
    </row>
    <row r="24" spans="2:5" x14ac:dyDescent="0.3">
      <c r="C24" s="5"/>
    </row>
    <row r="25" spans="2:5" x14ac:dyDescent="0.3">
      <c r="C25" s="5"/>
    </row>
    <row r="26" spans="2:5" x14ac:dyDescent="0.3">
      <c r="C26" s="5"/>
    </row>
    <row r="27" spans="2:5" x14ac:dyDescent="0.3">
      <c r="C27" s="5"/>
    </row>
    <row r="28" spans="2:5" x14ac:dyDescent="0.3">
      <c r="C28" s="5"/>
    </row>
    <row r="29" spans="2:5" x14ac:dyDescent="0.3">
      <c r="C29" s="5"/>
    </row>
    <row r="30" spans="2:5" x14ac:dyDescent="0.3">
      <c r="C30" s="5"/>
    </row>
    <row r="32" spans="2:5" x14ac:dyDescent="0.3">
      <c r="C32" s="4"/>
      <c r="D32" s="4"/>
      <c r="E32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FACTORES DE RIESGO MANTENIMIENT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Zuluaga</dc:creator>
  <cp:lastModifiedBy>Jose Luis Hurtado Balcazar</cp:lastModifiedBy>
  <dcterms:created xsi:type="dcterms:W3CDTF">2026-09-14T13:38:54Z</dcterms:created>
  <dcterms:modified xsi:type="dcterms:W3CDTF">2026-09-14T19:11:28Z</dcterms:modified>
</cp:coreProperties>
</file>