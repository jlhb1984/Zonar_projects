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mym\"/>
    </mc:Choice>
  </mc:AlternateContent>
  <xr:revisionPtr revIDLastSave="0" documentId="13_ncr:1_{7ED09805-7D43-445B-80FE-DB07FC881722}" xr6:coauthVersionLast="47" xr6:coauthVersionMax="47" xr10:uidLastSave="{00000000-0000-0000-0000-000000000000}"/>
  <bookViews>
    <workbookView xWindow="-108" yWindow="-108" windowWidth="23256" windowHeight="13896" xr2:uid="{4EB0C79B-B897-4039-93C6-82940471E3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K17" i="1"/>
  <c r="L17" i="1" s="1"/>
  <c r="D17" i="1"/>
  <c r="E17" i="1" s="1"/>
  <c r="K16" i="1"/>
  <c r="L16" i="1" s="1"/>
  <c r="D16" i="1"/>
  <c r="E16" i="1" s="1"/>
  <c r="K15" i="1"/>
  <c r="L15" i="1" s="1"/>
  <c r="D15" i="1"/>
  <c r="E15" i="1" s="1"/>
  <c r="K14" i="1"/>
  <c r="L14" i="1" s="1"/>
  <c r="D14" i="1"/>
  <c r="E14" i="1" s="1"/>
  <c r="K13" i="1"/>
  <c r="L13" i="1" s="1"/>
  <c r="D13" i="1"/>
  <c r="E13" i="1" s="1"/>
  <c r="K12" i="1"/>
  <c r="L12" i="1" s="1"/>
  <c r="D12" i="1"/>
  <c r="E12" i="1" s="1"/>
  <c r="K11" i="1"/>
  <c r="L11" i="1" s="1"/>
  <c r="D11" i="1"/>
  <c r="E11" i="1" s="1"/>
  <c r="K10" i="1"/>
  <c r="L10" i="1" s="1"/>
  <c r="D10" i="1"/>
  <c r="E10" i="1" s="1"/>
  <c r="K9" i="1"/>
  <c r="L9" i="1" s="1"/>
  <c r="D9" i="1"/>
  <c r="E9" i="1" s="1"/>
  <c r="K8" i="1"/>
  <c r="L8" i="1" s="1"/>
  <c r="D8" i="1"/>
  <c r="E8" i="1" s="1"/>
  <c r="K7" i="1"/>
  <c r="L7" i="1" s="1"/>
  <c r="D7" i="1"/>
  <c r="E7" i="1" s="1"/>
  <c r="K6" i="1"/>
  <c r="L6" i="1" s="1"/>
  <c r="D6" i="1"/>
  <c r="E6" i="1" s="1"/>
  <c r="K5" i="1"/>
  <c r="L5" i="1" s="1"/>
  <c r="D5" i="1"/>
  <c r="E5" i="1" s="1"/>
  <c r="K4" i="1"/>
  <c r="L4" i="1" s="1"/>
  <c r="D4" i="1"/>
  <c r="E4" i="1" s="1"/>
  <c r="K3" i="1"/>
  <c r="L3" i="1" s="1"/>
  <c r="D3" i="1"/>
  <c r="E3" i="1" s="1"/>
  <c r="K2" i="1"/>
  <c r="L2" i="1" s="1"/>
  <c r="D2" i="1"/>
  <c r="E2" i="1" s="1"/>
  <c r="L19" i="1" l="1"/>
  <c r="M19" i="1" s="1"/>
</calcChain>
</file>

<file path=xl/sharedStrings.xml><?xml version="1.0" encoding="utf-8"?>
<sst xmlns="http://schemas.openxmlformats.org/spreadsheetml/2006/main" count="39" uniqueCount="35">
  <si>
    <t>ncode</t>
  </si>
  <si>
    <t>gallons</t>
  </si>
  <si>
    <t>Fecha</t>
  </si>
  <si>
    <t>260821124025_</t>
  </si>
  <si>
    <t>260821124410_</t>
  </si>
  <si>
    <t>260821124210_</t>
  </si>
  <si>
    <t>260821124825_</t>
  </si>
  <si>
    <t>260821124355_</t>
  </si>
  <si>
    <t>260821125240_</t>
  </si>
  <si>
    <t>260821124540 _</t>
  </si>
  <si>
    <t>260821125655_</t>
  </si>
  <si>
    <t>260821124725_</t>
  </si>
  <si>
    <t>260821130110_</t>
  </si>
  <si>
    <t>260821124910_</t>
  </si>
  <si>
    <t>260821130525_</t>
  </si>
  <si>
    <t>260821125055_</t>
  </si>
  <si>
    <t>260821130940_</t>
  </si>
  <si>
    <t>260821131355_</t>
  </si>
  <si>
    <t>260821125425_</t>
  </si>
  <si>
    <t>260821131810_</t>
  </si>
  <si>
    <t>260821125610_</t>
  </si>
  <si>
    <t>260821132225_</t>
  </si>
  <si>
    <t>260821125755_</t>
  </si>
  <si>
    <t>260821132640_</t>
  </si>
  <si>
    <t>260821125940_</t>
  </si>
  <si>
    <t>260821133055_</t>
  </si>
  <si>
    <t>260821130125_</t>
  </si>
  <si>
    <t>260821133510_</t>
  </si>
  <si>
    <t>260821130310_</t>
  </si>
  <si>
    <t>260821133925_</t>
  </si>
  <si>
    <t>260821130455_</t>
  </si>
  <si>
    <t>260821134340_</t>
  </si>
  <si>
    <t>260821130640_</t>
  </si>
  <si>
    <t>260821134755_</t>
  </si>
  <si>
    <t>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</si>
</sst>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19</xdr:row>
      <xdr:rowOff>72596</xdr:rowOff>
    </xdr:from>
    <xdr:to>
      <xdr:col>12</xdr:col>
      <xdr:colOff>885494</xdr:colOff>
      <xdr:row>39</xdr:row>
      <xdr:rowOff>99767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9E22B5-3C52-4F0C-B9BC-09869E6B9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3257756"/>
          <a:ext cx="8200694" cy="3684771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762000</xdr:colOff>
      <xdr:row>0</xdr:row>
      <xdr:rowOff>137160</xdr:rowOff>
    </xdr:from>
    <xdr:to>
      <xdr:col>20</xdr:col>
      <xdr:colOff>609600</xdr:colOff>
      <xdr:row>39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8346F0-140C-4365-8FA7-D68E7E34F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137160"/>
          <a:ext cx="5394960" cy="714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485B-D7BD-4DC1-8E5F-CA0E69016F79}">
  <dimension ref="A1:M46"/>
  <sheetViews>
    <sheetView tabSelected="1" workbookViewId="0">
      <selection activeCell="A15" sqref="A15"/>
    </sheetView>
  </sheetViews>
  <sheetFormatPr baseColWidth="10" defaultRowHeight="14.4" x14ac:dyDescent="0.3"/>
  <cols>
    <col min="1" max="1" width="6" bestFit="1" customWidth="1"/>
    <col min="2" max="3" width="7" bestFit="1" customWidth="1"/>
    <col min="4" max="4" width="9" bestFit="1" customWidth="1"/>
    <col min="5" max="5" width="12" bestFit="1" customWidth="1"/>
    <col min="6" max="6" width="14.109375" bestFit="1" customWidth="1"/>
    <col min="7" max="7" width="14.109375" customWidth="1"/>
    <col min="8" max="8" width="5" bestFit="1" customWidth="1"/>
    <col min="9" max="9" width="6" bestFit="1" customWidth="1"/>
    <col min="10" max="10" width="7" bestFit="1" customWidth="1"/>
    <col min="11" max="11" width="9" bestFit="1" customWidth="1"/>
    <col min="12" max="12" width="12" bestFit="1" customWidth="1"/>
    <col min="13" max="13" width="13.77734375" bestFit="1" customWidth="1"/>
  </cols>
  <sheetData>
    <row r="1" spans="1:13" x14ac:dyDescent="0.3">
      <c r="A1" t="s">
        <v>0</v>
      </c>
      <c r="B1">
        <v>0.1033</v>
      </c>
      <c r="C1">
        <v>4.2652000000000001</v>
      </c>
      <c r="D1" s="1" t="s">
        <v>34</v>
      </c>
      <c r="E1" s="1" t="s">
        <v>1</v>
      </c>
      <c r="F1" s="1" t="s">
        <v>2</v>
      </c>
      <c r="G1" s="1"/>
      <c r="I1">
        <v>6.6000000000000003E-2</v>
      </c>
      <c r="J1">
        <v>4.7161</v>
      </c>
      <c r="K1" s="1" t="s">
        <v>34</v>
      </c>
      <c r="L1" s="1" t="s">
        <v>1</v>
      </c>
      <c r="M1" s="1" t="s">
        <v>2</v>
      </c>
    </row>
    <row r="2" spans="1:13" x14ac:dyDescent="0.3">
      <c r="A2">
        <v>2640</v>
      </c>
      <c r="D2">
        <f t="shared" ref="D2:D7" si="0">A2*B$1-C$1</f>
        <v>268.4468</v>
      </c>
      <c r="E2">
        <f>D2/3.7854</f>
        <v>70.916362867860727</v>
      </c>
      <c r="F2" t="s">
        <v>3</v>
      </c>
      <c r="H2">
        <v>2798</v>
      </c>
      <c r="K2">
        <f>H2*I$1-J$1</f>
        <v>179.95189999999999</v>
      </c>
      <c r="L2">
        <f>K2/3.7854</f>
        <v>47.538410735985629</v>
      </c>
      <c r="M2" t="s">
        <v>4</v>
      </c>
    </row>
    <row r="3" spans="1:13" x14ac:dyDescent="0.3">
      <c r="A3">
        <v>2656</v>
      </c>
      <c r="D3">
        <f t="shared" si="0"/>
        <v>270.09960000000001</v>
      </c>
      <c r="E3">
        <f t="shared" ref="E3:E17" si="1">D3/3.7854</f>
        <v>71.352987795213181</v>
      </c>
      <c r="F3" t="s">
        <v>5</v>
      </c>
      <c r="H3">
        <v>2903</v>
      </c>
      <c r="K3">
        <f t="shared" ref="K3:K17" si="2">H3*I$1-J$1</f>
        <v>186.8819</v>
      </c>
      <c r="L3">
        <f t="shared" ref="L3:L17" si="3">K3/3.7854</f>
        <v>49.369128757859144</v>
      </c>
      <c r="M3" t="s">
        <v>6</v>
      </c>
    </row>
    <row r="4" spans="1:13" x14ac:dyDescent="0.3">
      <c r="A4">
        <v>2991</v>
      </c>
      <c r="D4">
        <f t="shared" si="0"/>
        <v>304.70510000000002</v>
      </c>
      <c r="E4">
        <f t="shared" si="1"/>
        <v>80.494822211655304</v>
      </c>
      <c r="F4" t="s">
        <v>7</v>
      </c>
      <c r="H4">
        <v>4095</v>
      </c>
      <c r="K4">
        <f t="shared" si="2"/>
        <v>265.55390000000006</v>
      </c>
      <c r="L4">
        <f t="shared" si="3"/>
        <v>70.15213715855657</v>
      </c>
      <c r="M4" t="s">
        <v>8</v>
      </c>
    </row>
    <row r="5" spans="1:13" x14ac:dyDescent="0.3">
      <c r="A5">
        <v>3869</v>
      </c>
      <c r="D5">
        <f t="shared" si="0"/>
        <v>395.40250000000003</v>
      </c>
      <c r="E5">
        <f t="shared" si="1"/>
        <v>104.45461510012153</v>
      </c>
      <c r="F5" s="1" t="s">
        <v>9</v>
      </c>
      <c r="G5" s="1"/>
      <c r="H5">
        <v>4095</v>
      </c>
      <c r="K5">
        <f t="shared" si="2"/>
        <v>265.55390000000006</v>
      </c>
      <c r="L5">
        <f t="shared" si="3"/>
        <v>70.15213715855657</v>
      </c>
      <c r="M5" t="s">
        <v>10</v>
      </c>
    </row>
    <row r="6" spans="1:13" x14ac:dyDescent="0.3">
      <c r="A6">
        <v>4000</v>
      </c>
      <c r="D6">
        <f t="shared" si="0"/>
        <v>408.9348</v>
      </c>
      <c r="E6">
        <f t="shared" si="1"/>
        <v>108.02948169281977</v>
      </c>
      <c r="F6" s="1" t="s">
        <v>11</v>
      </c>
      <c r="G6" s="1"/>
      <c r="H6">
        <v>4095</v>
      </c>
      <c r="K6">
        <f t="shared" si="2"/>
        <v>265.55390000000006</v>
      </c>
      <c r="L6">
        <f t="shared" si="3"/>
        <v>70.15213715855657</v>
      </c>
      <c r="M6" t="s">
        <v>12</v>
      </c>
    </row>
    <row r="7" spans="1:13" x14ac:dyDescent="0.3">
      <c r="A7">
        <v>4016</v>
      </c>
      <c r="D7">
        <f t="shared" si="0"/>
        <v>410.58760000000001</v>
      </c>
      <c r="E7">
        <f t="shared" si="1"/>
        <v>108.46610662017224</v>
      </c>
      <c r="F7" s="1" t="s">
        <v>13</v>
      </c>
      <c r="G7" s="1"/>
      <c r="H7">
        <v>4095</v>
      </c>
      <c r="K7">
        <f t="shared" si="2"/>
        <v>265.55390000000006</v>
      </c>
      <c r="L7">
        <f t="shared" si="3"/>
        <v>70.15213715855657</v>
      </c>
      <c r="M7" t="s">
        <v>14</v>
      </c>
    </row>
    <row r="8" spans="1:13" x14ac:dyDescent="0.3">
      <c r="A8">
        <v>4009</v>
      </c>
      <c r="D8">
        <f t="shared" ref="D8:D17" si="4">A8*B$1-C$1</f>
        <v>409.86450000000002</v>
      </c>
      <c r="E8">
        <f t="shared" si="1"/>
        <v>108.27508321445555</v>
      </c>
      <c r="F8" s="1" t="s">
        <v>15</v>
      </c>
      <c r="G8" s="1"/>
      <c r="H8">
        <v>4095</v>
      </c>
      <c r="K8">
        <f t="shared" si="2"/>
        <v>265.55390000000006</v>
      </c>
      <c r="L8">
        <f t="shared" si="3"/>
        <v>70.15213715855657</v>
      </c>
      <c r="M8" t="s">
        <v>16</v>
      </c>
    </row>
    <row r="9" spans="1:13" x14ac:dyDescent="0.3">
      <c r="A9">
        <v>4020</v>
      </c>
      <c r="D9">
        <f t="shared" si="4"/>
        <v>411.00080000000003</v>
      </c>
      <c r="E9">
        <f t="shared" si="1"/>
        <v>108.57526285201035</v>
      </c>
      <c r="F9" s="1" t="s">
        <v>8</v>
      </c>
      <c r="G9" s="1"/>
      <c r="H9">
        <v>4095</v>
      </c>
      <c r="K9">
        <f t="shared" si="2"/>
        <v>265.55390000000006</v>
      </c>
      <c r="L9">
        <f t="shared" si="3"/>
        <v>70.15213715855657</v>
      </c>
      <c r="M9" t="s">
        <v>17</v>
      </c>
    </row>
    <row r="10" spans="1:13" x14ac:dyDescent="0.3">
      <c r="A10">
        <v>4034</v>
      </c>
      <c r="D10">
        <f t="shared" si="4"/>
        <v>412.447</v>
      </c>
      <c r="E10">
        <f t="shared" si="1"/>
        <v>108.95730966344375</v>
      </c>
      <c r="F10" s="1" t="s">
        <v>18</v>
      </c>
      <c r="G10" s="1"/>
      <c r="H10">
        <v>4095</v>
      </c>
      <c r="K10">
        <f t="shared" si="2"/>
        <v>265.55390000000006</v>
      </c>
      <c r="L10">
        <f t="shared" si="3"/>
        <v>70.15213715855657</v>
      </c>
      <c r="M10" t="s">
        <v>19</v>
      </c>
    </row>
    <row r="11" spans="1:13" x14ac:dyDescent="0.3">
      <c r="A11">
        <v>4045</v>
      </c>
      <c r="C11" s="2"/>
      <c r="D11">
        <f t="shared" si="4"/>
        <v>413.58330000000001</v>
      </c>
      <c r="E11">
        <f t="shared" si="1"/>
        <v>109.25748930099857</v>
      </c>
      <c r="F11" s="1" t="s">
        <v>20</v>
      </c>
      <c r="G11" s="1"/>
      <c r="H11">
        <v>4095</v>
      </c>
      <c r="K11">
        <f t="shared" si="2"/>
        <v>265.55390000000006</v>
      </c>
      <c r="L11">
        <f t="shared" si="3"/>
        <v>70.15213715855657</v>
      </c>
      <c r="M11" t="s">
        <v>21</v>
      </c>
    </row>
    <row r="12" spans="1:13" x14ac:dyDescent="0.3">
      <c r="A12">
        <v>4048</v>
      </c>
      <c r="C12" s="2"/>
      <c r="D12">
        <f t="shared" si="4"/>
        <v>413.89320000000004</v>
      </c>
      <c r="E12">
        <f t="shared" si="1"/>
        <v>109.33935647487716</v>
      </c>
      <c r="F12" s="1" t="s">
        <v>22</v>
      </c>
      <c r="G12" s="1"/>
      <c r="H12">
        <v>4095</v>
      </c>
      <c r="K12">
        <f t="shared" si="2"/>
        <v>265.55390000000006</v>
      </c>
      <c r="L12">
        <f t="shared" si="3"/>
        <v>70.15213715855657</v>
      </c>
      <c r="M12" t="s">
        <v>23</v>
      </c>
    </row>
    <row r="13" spans="1:13" x14ac:dyDescent="0.3">
      <c r="A13">
        <v>4055</v>
      </c>
      <c r="C13" s="2"/>
      <c r="D13">
        <f t="shared" si="4"/>
        <v>414.61630000000002</v>
      </c>
      <c r="E13">
        <f t="shared" si="1"/>
        <v>109.53037988059387</v>
      </c>
      <c r="F13" s="1" t="s">
        <v>24</v>
      </c>
      <c r="G13" s="1"/>
      <c r="H13">
        <v>4095</v>
      </c>
      <c r="K13">
        <f t="shared" si="2"/>
        <v>265.55390000000006</v>
      </c>
      <c r="L13">
        <f t="shared" si="3"/>
        <v>70.15213715855657</v>
      </c>
      <c r="M13" t="s">
        <v>25</v>
      </c>
    </row>
    <row r="14" spans="1:13" x14ac:dyDescent="0.3">
      <c r="A14">
        <v>4071</v>
      </c>
      <c r="C14" s="2"/>
      <c r="D14">
        <f t="shared" si="4"/>
        <v>416.26910000000004</v>
      </c>
      <c r="E14">
        <f t="shared" si="1"/>
        <v>109.96700480794632</v>
      </c>
      <c r="F14" s="1" t="s">
        <v>26</v>
      </c>
      <c r="G14" s="1"/>
      <c r="H14">
        <v>4095</v>
      </c>
      <c r="K14">
        <f t="shared" si="2"/>
        <v>265.55390000000006</v>
      </c>
      <c r="L14">
        <f t="shared" si="3"/>
        <v>70.15213715855657</v>
      </c>
      <c r="M14" t="s">
        <v>27</v>
      </c>
    </row>
    <row r="15" spans="1:13" x14ac:dyDescent="0.3">
      <c r="A15">
        <v>4057</v>
      </c>
      <c r="C15" s="2"/>
      <c r="D15">
        <f t="shared" si="4"/>
        <v>414.8229</v>
      </c>
      <c r="E15">
        <f t="shared" si="1"/>
        <v>109.58495799651291</v>
      </c>
      <c r="F15" s="1" t="s">
        <v>28</v>
      </c>
      <c r="G15" s="1"/>
      <c r="H15">
        <v>4095</v>
      </c>
      <c r="K15">
        <f t="shared" si="2"/>
        <v>265.55390000000006</v>
      </c>
      <c r="L15">
        <f t="shared" si="3"/>
        <v>70.15213715855657</v>
      </c>
      <c r="M15" t="s">
        <v>29</v>
      </c>
    </row>
    <row r="16" spans="1:13" x14ac:dyDescent="0.3">
      <c r="A16">
        <v>4063</v>
      </c>
      <c r="C16" s="2"/>
      <c r="D16">
        <f t="shared" si="4"/>
        <v>415.4427</v>
      </c>
      <c r="E16">
        <f t="shared" si="1"/>
        <v>109.74869234427008</v>
      </c>
      <c r="F16" s="1" t="s">
        <v>30</v>
      </c>
      <c r="G16" s="1"/>
      <c r="H16">
        <v>4095</v>
      </c>
      <c r="K16">
        <f t="shared" si="2"/>
        <v>265.55390000000006</v>
      </c>
      <c r="L16">
        <f t="shared" si="3"/>
        <v>70.15213715855657</v>
      </c>
      <c r="M16" t="s">
        <v>31</v>
      </c>
    </row>
    <row r="17" spans="1:13" x14ac:dyDescent="0.3">
      <c r="A17">
        <v>4087</v>
      </c>
      <c r="C17" s="2"/>
      <c r="D17">
        <f t="shared" si="4"/>
        <v>417.92189999999999</v>
      </c>
      <c r="E17">
        <f t="shared" si="1"/>
        <v>110.40362973529878</v>
      </c>
      <c r="F17" s="1" t="s">
        <v>32</v>
      </c>
      <c r="G17" s="1"/>
      <c r="H17">
        <v>4095</v>
      </c>
      <c r="K17">
        <f t="shared" si="2"/>
        <v>265.55390000000006</v>
      </c>
      <c r="L17">
        <f t="shared" si="3"/>
        <v>70.15213715855657</v>
      </c>
      <c r="M17" t="s">
        <v>33</v>
      </c>
    </row>
    <row r="18" spans="1:13" x14ac:dyDescent="0.3">
      <c r="C18" s="2"/>
    </row>
    <row r="19" spans="1:13" x14ac:dyDescent="0.3">
      <c r="C19" s="2"/>
      <c r="E19" s="3">
        <f>E17-E2</f>
        <v>39.487266867438052</v>
      </c>
      <c r="L19" s="3">
        <f>L17-L2</f>
        <v>22.613726422570942</v>
      </c>
      <c r="M19" s="3">
        <f>E19+L19</f>
        <v>62.100993290008994</v>
      </c>
    </row>
    <row r="20" spans="1:13" x14ac:dyDescent="0.3">
      <c r="C20" s="2"/>
    </row>
    <row r="21" spans="1:13" x14ac:dyDescent="0.3">
      <c r="C21" s="2"/>
    </row>
    <row r="22" spans="1:13" x14ac:dyDescent="0.3">
      <c r="C22" s="2"/>
    </row>
    <row r="23" spans="1:13" x14ac:dyDescent="0.3">
      <c r="C23" s="2"/>
    </row>
    <row r="24" spans="1:13" x14ac:dyDescent="0.3">
      <c r="C24" s="2"/>
    </row>
    <row r="25" spans="1:13" x14ac:dyDescent="0.3">
      <c r="C25" s="2"/>
    </row>
    <row r="26" spans="1:13" x14ac:dyDescent="0.3">
      <c r="C26" s="2"/>
    </row>
    <row r="27" spans="1:13" x14ac:dyDescent="0.3">
      <c r="C27" s="2"/>
    </row>
    <row r="28" spans="1:13" x14ac:dyDescent="0.3">
      <c r="C28" s="2"/>
    </row>
    <row r="29" spans="1:13" x14ac:dyDescent="0.3">
      <c r="C29" s="2"/>
    </row>
    <row r="30" spans="1:13" x14ac:dyDescent="0.3">
      <c r="C30" s="2"/>
    </row>
    <row r="31" spans="1:13" x14ac:dyDescent="0.3">
      <c r="C31" s="2"/>
    </row>
    <row r="32" spans="1:1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Hurtado Balcazar</dc:creator>
  <cp:lastModifiedBy>Jose Luis Hurtado Balcazar</cp:lastModifiedBy>
  <dcterms:created xsi:type="dcterms:W3CDTF">2026-08-24T22:04:03Z</dcterms:created>
  <dcterms:modified xsi:type="dcterms:W3CDTF">2026-09-09T03:29:06Z</dcterms:modified>
</cp:coreProperties>
</file>